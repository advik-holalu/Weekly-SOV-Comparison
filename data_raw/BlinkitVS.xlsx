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vik/Desktop/SOV Brand Comparison/data_raw/"/>
    </mc:Choice>
  </mc:AlternateContent>
  <xr:revisionPtr revIDLastSave="0" documentId="13_ncr:1_{EFFE029D-24E5-AE41-ABE0-A3F35CDBAFED}" xr6:coauthVersionLast="47" xr6:coauthVersionMax="47" xr10:uidLastSave="{00000000-0000-0000-0000-000000000000}"/>
  <bookViews>
    <workbookView xWindow="0" yWindow="660" windowWidth="29400" windowHeight="18460" xr2:uid="{55DD27FB-5AD4-E64A-A544-907DCE296DF6}"/>
  </bookViews>
  <sheets>
    <sheet name="Sheet1" sheetId="1" r:id="rId1"/>
  </sheets>
  <definedNames>
    <definedName name="_xlnm._FilterDatabase" localSheetId="0" hidden="1">Sheet1!$A$1:$O$36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6" i="1" l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C2" i="1"/>
</calcChain>
</file>

<file path=xl/sharedStrings.xml><?xml version="1.0" encoding="utf-8"?>
<sst xmlns="http://schemas.openxmlformats.org/spreadsheetml/2006/main" count="323" uniqueCount="180">
  <si>
    <t>Category</t>
  </si>
  <si>
    <t>Keyword Type</t>
  </si>
  <si>
    <t>Keyword</t>
  </si>
  <si>
    <t>Jan26 W1</t>
  </si>
  <si>
    <t>Jan26 W2</t>
  </si>
  <si>
    <t>Jan26 W3</t>
  </si>
  <si>
    <t>Jan26 W4</t>
  </si>
  <si>
    <t>Jan26 W5</t>
  </si>
  <si>
    <t>Feb26 W1</t>
  </si>
  <si>
    <t>Feb26 W2</t>
  </si>
  <si>
    <t>Feb26 W3</t>
  </si>
  <si>
    <t>Feb26 W4</t>
  </si>
  <si>
    <t>Mar26 W1</t>
  </si>
  <si>
    <t>Mar26 W2</t>
  </si>
  <si>
    <t>Mar26 W3</t>
  </si>
  <si>
    <t>Indian Sweets</t>
  </si>
  <si>
    <t>Branded</t>
  </si>
  <si>
    <t>classic kaju katli</t>
  </si>
  <si>
    <t>-</t>
  </si>
  <si>
    <t>GO DESi</t>
  </si>
  <si>
    <t>go desi kaju katli</t>
  </si>
  <si>
    <t>go desi premium kaju katli</t>
  </si>
  <si>
    <t>premium kaju katli</t>
  </si>
  <si>
    <t>Competition</t>
  </si>
  <si>
    <t>Bikano</t>
  </si>
  <si>
    <t>Daadis</t>
  </si>
  <si>
    <t>eat better co</t>
  </si>
  <si>
    <t>Farmley</t>
  </si>
  <si>
    <t>Gulab</t>
  </si>
  <si>
    <t>2,34,955</t>
  </si>
  <si>
    <t>2,38,417</t>
  </si>
  <si>
    <t>2,42,693</t>
  </si>
  <si>
    <t>2,46,128</t>
  </si>
  <si>
    <t>2,55,904</t>
  </si>
  <si>
    <t>2,82,351</t>
  </si>
  <si>
    <t>2,84,088</t>
  </si>
  <si>
    <t>Haldiram's</t>
  </si>
  <si>
    <t>1,04,882</t>
  </si>
  <si>
    <t>1,51,006</t>
  </si>
  <si>
    <t>1,72,220</t>
  </si>
  <si>
    <t>lal</t>
  </si>
  <si>
    <t>1,33,893</t>
  </si>
  <si>
    <t>1,35,918</t>
  </si>
  <si>
    <t>1,38,462</t>
  </si>
  <si>
    <t>1,41,073</t>
  </si>
  <si>
    <t>1,44,386</t>
  </si>
  <si>
    <t>1,46,924</t>
  </si>
  <si>
    <t>1,50,902</t>
  </si>
  <si>
    <t>Sweet Karam Coffee</t>
  </si>
  <si>
    <t>Generic</t>
  </si>
  <si>
    <t>Kaju Katli</t>
  </si>
  <si>
    <t>2,49,573</t>
  </si>
  <si>
    <t>2,52,314</t>
  </si>
  <si>
    <t>2,58,947</t>
  </si>
  <si>
    <t>2,64,882</t>
  </si>
  <si>
    <t>2,75,619</t>
  </si>
  <si>
    <t>2,84,523</t>
  </si>
  <si>
    <t>2,89,361</t>
  </si>
  <si>
    <t>Mithai</t>
  </si>
  <si>
    <t>1,04,144</t>
  </si>
  <si>
    <t>1,06,271</t>
  </si>
  <si>
    <t>1,10,384</t>
  </si>
  <si>
    <t>1,14,927</t>
  </si>
  <si>
    <t>1,25,306</t>
  </si>
  <si>
    <t>1,34,009</t>
  </si>
  <si>
    <t>1,38,771</t>
  </si>
  <si>
    <t>Sweet</t>
  </si>
  <si>
    <t>7,21,268</t>
  </si>
  <si>
    <t>7,34,812</t>
  </si>
  <si>
    <t>7,44,921</t>
  </si>
  <si>
    <t>7,55,684</t>
  </si>
  <si>
    <t>7,65,913</t>
  </si>
  <si>
    <t>7,30,084</t>
  </si>
  <si>
    <t>6,82,849</t>
  </si>
  <si>
    <t>Sweets</t>
  </si>
  <si>
    <t>6,21,059</t>
  </si>
  <si>
    <t>6,30,417</t>
  </si>
  <si>
    <t>6,45,208</t>
  </si>
  <si>
    <t>6,60,793</t>
  </si>
  <si>
    <t>6,80,412</t>
  </si>
  <si>
    <t>7,61,841</t>
  </si>
  <si>
    <t>8,06,842</t>
  </si>
  <si>
    <t>Candies and Gum</t>
  </si>
  <si>
    <t>desi pop</t>
  </si>
  <si>
    <t>desi pops</t>
  </si>
  <si>
    <t>desi popz</t>
  </si>
  <si>
    <t>desi popz tangy imli</t>
  </si>
  <si>
    <t>go desi</t>
  </si>
  <si>
    <t>go desi pop</t>
  </si>
  <si>
    <t>go desi popz</t>
  </si>
  <si>
    <t>alpenliebe</t>
  </si>
  <si>
    <t>chupa chups</t>
  </si>
  <si>
    <t>impact mints</t>
  </si>
  <si>
    <t>parle melody</t>
  </si>
  <si>
    <t>the whole truth</t>
  </si>
  <si>
    <t>candy</t>
  </si>
  <si>
    <t>2,30,639</t>
  </si>
  <si>
    <t>2,23,288</t>
  </si>
  <si>
    <t>2,34,618</t>
  </si>
  <si>
    <t>2,38,271</t>
  </si>
  <si>
    <t>2,40,193</t>
  </si>
  <si>
    <t>2,45,482</t>
  </si>
  <si>
    <t>2,15,571</t>
  </si>
  <si>
    <t>2,15,014</t>
  </si>
  <si>
    <t>candies</t>
  </si>
  <si>
    <t>imli pop</t>
  </si>
  <si>
    <t>lollipop</t>
  </si>
  <si>
    <t>1,33,961</t>
  </si>
  <si>
    <t>1,26,396</t>
  </si>
  <si>
    <t>1,27,184</t>
  </si>
  <si>
    <t>1,28,672</t>
  </si>
  <si>
    <t>1,30,241</t>
  </si>
  <si>
    <t>1,32,118</t>
  </si>
  <si>
    <t>1,23,261</t>
  </si>
  <si>
    <t>1,21,373</t>
  </si>
  <si>
    <t>lollipops</t>
  </si>
  <si>
    <t>toffee</t>
  </si>
  <si>
    <t>1,94,741</t>
  </si>
  <si>
    <t>1,93,886</t>
  </si>
  <si>
    <t>1,94,873</t>
  </si>
  <si>
    <t>1,96,942</t>
  </si>
  <si>
    <t>1,98,761</t>
  </si>
  <si>
    <t>2,00,384</t>
  </si>
  <si>
    <t>1,84,162</t>
  </si>
  <si>
    <t>1,82,929</t>
  </si>
  <si>
    <t>Mar26 W4</t>
  </si>
  <si>
    <t>Apr26 W1</t>
  </si>
  <si>
    <t>Apr26 W4</t>
  </si>
  <si>
    <t>Apr26 W3</t>
  </si>
  <si>
    <t>2,16,159</t>
  </si>
  <si>
    <t>1,76,153</t>
  </si>
  <si>
    <t>1,47,679</t>
  </si>
  <si>
    <t>2,58,914</t>
  </si>
  <si>
    <t>1,13,378</t>
  </si>
  <si>
    <t>6,12,501</t>
  </si>
  <si>
    <t>7,12,641</t>
  </si>
  <si>
    <t>2,23,906</t>
  </si>
  <si>
    <t>1,20,465</t>
  </si>
  <si>
    <t>1,90,556</t>
  </si>
  <si>
    <t>May26 W1</t>
  </si>
  <si>
    <t>May26 W2</t>
  </si>
  <si>
    <t>2,13,743</t>
  </si>
  <si>
    <t>1,82,395</t>
  </si>
  <si>
    <t>1,50,892</t>
  </si>
  <si>
    <t>2,71,617</t>
  </si>
  <si>
    <t>1,19,337</t>
  </si>
  <si>
    <t>6,48,673</t>
  </si>
  <si>
    <t>7,41,381</t>
  </si>
  <si>
    <t>2,25,377</t>
  </si>
  <si>
    <t>1,20,581</t>
  </si>
  <si>
    <t>2,01,863</t>
  </si>
  <si>
    <t>2,08,441</t>
  </si>
  <si>
    <t>1,79,338</t>
  </si>
  <si>
    <t>1,45,904</t>
  </si>
  <si>
    <t>2,63,228</t>
  </si>
  <si>
    <t>1,16,482</t>
  </si>
  <si>
    <t>6,31,447</t>
  </si>
  <si>
    <t>7,28,904</t>
  </si>
  <si>
    <t>2,28,992</t>
  </si>
  <si>
    <t>1,22,348</t>
  </si>
  <si>
    <t>2,06,417</t>
  </si>
  <si>
    <t>May26 W3</t>
  </si>
  <si>
    <t>Apr26 W2</t>
  </si>
  <si>
    <t>May26 W4</t>
  </si>
  <si>
    <t>Jun26 W1</t>
  </si>
  <si>
    <t>Jun26 W2</t>
  </si>
  <si>
    <t>2,48,183</t>
  </si>
  <si>
    <t>1,87,475</t>
  </si>
  <si>
    <t>1,58,049</t>
  </si>
  <si>
    <t>2,74,609</t>
  </si>
  <si>
    <t>1,32,304</t>
  </si>
  <si>
    <t>7,13,994</t>
  </si>
  <si>
    <t>7,38,421</t>
  </si>
  <si>
    <t>2,43,094</t>
  </si>
  <si>
    <t>1,37,019</t>
  </si>
  <si>
    <t>2,24,375</t>
  </si>
  <si>
    <t>Jun26 W3</t>
  </si>
  <si>
    <t>Jun26 W4</t>
  </si>
  <si>
    <t>Jul26 W1</t>
  </si>
  <si>
    <t>Jul26 W2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</si>
</sst>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1" fontId="2" fillId="0" borderId="0" xfId="1" applyNumberFormat="1" applyFont="1" applyAlignment="1">
      <alignment horizontal="right"/>
    </xf>
    <xf numFmtId="0" fontId="2" fillId="0" borderId="0" xfId="0" applyFont="1" applyAlignment="1">
      <alignment horizontal="right"/>
    </xf>
    <xf numFmtId="164" fontId="2" fillId="0" borderId="0" xfId="1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164" fontId="2" fillId="0" borderId="0" xfId="1" applyNumberFormat="1" applyFont="1"/>
    <xf numFmtId="0" fontId="3" fillId="0" borderId="0" xfId="0" applyFont="1"/>
    <xf numFmtId="164" fontId="3" fillId="0" borderId="0" xfId="1" applyNumberFormat="1" applyFont="1"/>
    <xf numFmtId="1" fontId="2" fillId="0" borderId="0" xfId="0" applyNumberFormat="1" applyFont="1" applyAlignment="1">
      <alignment horizontal="right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right"/>
    </xf>
    <xf numFmtId="3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87D6-5B82-9F44-A171-AF60F746D3C2}">
  <dimension ref="A1:AF74"/>
  <sheetViews>
    <sheetView tabSelected="1" zoomScale="90" zoomScaleNormal="90" workbookViewId="0">
      <pane xSplit="3" ySplit="1" topLeftCell="O2" activePane="bottomRight" state="frozen"/>
      <selection pane="topRight" activeCell="D1" sqref="D1"/>
      <selection pane="bottomLeft" activeCell="A2" sqref="A2"/>
      <selection pane="bottomRight" activeCell="AE6" sqref="AE6"/>
    </sheetView>
  </sheetViews>
  <sheetFormatPr baseColWidth="10" defaultRowHeight="16" x14ac:dyDescent="0.2"/>
  <cols>
    <col min="1" max="1" width="12.6640625" style="1" bestFit="1" customWidth="1"/>
    <col min="2" max="2" width="13.33203125" style="1" bestFit="1" customWidth="1"/>
    <col min="3" max="3" width="18.6640625" style="1" bestFit="1" customWidth="1"/>
    <col min="4" max="8" width="11.1640625" style="1" bestFit="1" customWidth="1"/>
    <col min="9" max="12" width="11.5" style="1" bestFit="1" customWidth="1"/>
    <col min="13" max="15" width="11.83203125" style="1" bestFit="1" customWidth="1"/>
    <col min="16" max="17" width="11.83203125" style="7" customWidth="1"/>
    <col min="18" max="22" width="10.83203125" style="1"/>
    <col min="23" max="23" width="11.33203125" style="1" customWidth="1"/>
    <col min="24" max="25" width="10.83203125" style="1"/>
    <col min="26" max="26" width="12.5" style="1" bestFit="1" customWidth="1"/>
    <col min="27" max="16384" width="10.83203125" style="1"/>
  </cols>
  <sheetData>
    <row r="1" spans="1:32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9" t="s">
        <v>125</v>
      </c>
      <c r="Q1" s="9" t="s">
        <v>126</v>
      </c>
      <c r="R1" s="9" t="s">
        <v>162</v>
      </c>
      <c r="S1" s="9" t="s">
        <v>128</v>
      </c>
      <c r="T1" s="9" t="s">
        <v>127</v>
      </c>
      <c r="U1" s="9" t="s">
        <v>139</v>
      </c>
      <c r="V1" s="9" t="s">
        <v>140</v>
      </c>
      <c r="W1" s="9" t="s">
        <v>161</v>
      </c>
      <c r="X1" s="9" t="s">
        <v>163</v>
      </c>
      <c r="Y1" s="9" t="s">
        <v>164</v>
      </c>
      <c r="Z1" s="9" t="s">
        <v>165</v>
      </c>
      <c r="AA1" s="9" t="s">
        <v>176</v>
      </c>
      <c r="AB1" s="9" t="s">
        <v>177</v>
      </c>
      <c r="AC1" s="9" t="s">
        <v>178</v>
      </c>
      <c r="AD1" s="9" t="s">
        <v>179</v>
      </c>
      <c r="AE1" s="9"/>
      <c r="AF1" s="9"/>
    </row>
    <row r="2" spans="1:32" x14ac:dyDescent="0.2">
      <c r="A2" s="1" t="s">
        <v>15</v>
      </c>
      <c r="B2" s="1" t="s">
        <v>16</v>
      </c>
      <c r="C2" s="1" t="s">
        <v>17</v>
      </c>
      <c r="D2" s="10" t="s">
        <v>18</v>
      </c>
      <c r="E2" s="10" t="s">
        <v>18</v>
      </c>
      <c r="F2" s="10" t="s">
        <v>18</v>
      </c>
      <c r="G2" s="10" t="s">
        <v>18</v>
      </c>
      <c r="H2" s="10" t="s">
        <v>18</v>
      </c>
      <c r="I2" s="10" t="s">
        <v>18</v>
      </c>
      <c r="J2" s="10" t="s">
        <v>18</v>
      </c>
      <c r="K2" s="10" t="s">
        <v>18</v>
      </c>
      <c r="L2" s="10" t="s">
        <v>18</v>
      </c>
      <c r="M2" s="10" t="s">
        <v>18</v>
      </c>
      <c r="N2" s="10" t="s">
        <v>18</v>
      </c>
      <c r="O2" s="10" t="s">
        <v>18</v>
      </c>
      <c r="P2" s="2" t="s">
        <v>18</v>
      </c>
      <c r="Q2" s="2" t="s">
        <v>18</v>
      </c>
      <c r="R2" s="2" t="s">
        <v>18</v>
      </c>
      <c r="S2" s="2" t="s">
        <v>18</v>
      </c>
      <c r="T2" s="2" t="s">
        <v>18</v>
      </c>
      <c r="U2" s="3" t="s">
        <v>18</v>
      </c>
      <c r="V2" s="3" t="s">
        <v>18</v>
      </c>
      <c r="W2" s="4" t="s">
        <v>18</v>
      </c>
      <c r="X2" s="11" t="s">
        <v>18</v>
      </c>
      <c r="Y2" s="11" t="s">
        <v>18</v>
      </c>
      <c r="Z2" s="3" t="s">
        <v>18</v>
      </c>
      <c r="AA2" s="3" t="s">
        <v>18</v>
      </c>
      <c r="AB2" s="3" t="s">
        <v>18</v>
      </c>
      <c r="AC2" s="13" t="str">
        <f t="shared" ref="AC2:AC36" si="0">IF($AD2="-","-",ROUND($AB2+SUMIFS($AH$4:$AH$9,$AF$4:$AF$9,$A2,$AG$4:$AG$9,$B2)*($AD2-$AB2),0))</f>
        <v>-</v>
      </c>
      <c r="AD2" s="14" t="s">
        <v>18</v>
      </c>
    </row>
    <row r="3" spans="1:32" x14ac:dyDescent="0.2">
      <c r="A3" s="1" t="s">
        <v>15</v>
      </c>
      <c r="B3" s="1" t="s">
        <v>16</v>
      </c>
      <c r="C3" s="1" t="s">
        <v>19</v>
      </c>
      <c r="D3" s="10">
        <v>15665</v>
      </c>
      <c r="E3" s="10">
        <v>18368</v>
      </c>
      <c r="F3" s="10">
        <v>21537</v>
      </c>
      <c r="G3" s="10">
        <v>20433</v>
      </c>
      <c r="H3" s="10">
        <v>19944</v>
      </c>
      <c r="I3" s="10">
        <v>19145</v>
      </c>
      <c r="J3" s="10">
        <v>19872</v>
      </c>
      <c r="K3" s="10">
        <v>20641</v>
      </c>
      <c r="L3" s="10">
        <v>21287</v>
      </c>
      <c r="M3" s="10">
        <v>23518</v>
      </c>
      <c r="N3" s="10">
        <v>26771</v>
      </c>
      <c r="O3" s="10">
        <v>28509</v>
      </c>
      <c r="P3" s="2">
        <v>30834</v>
      </c>
      <c r="Q3" s="2">
        <v>33159</v>
      </c>
      <c r="R3" s="3">
        <v>30941</v>
      </c>
      <c r="S3" s="3">
        <v>25786</v>
      </c>
      <c r="T3" s="2">
        <v>21006</v>
      </c>
      <c r="U3" s="5">
        <v>23487</v>
      </c>
      <c r="V3" s="5">
        <v>22116</v>
      </c>
      <c r="W3" s="4">
        <v>19589</v>
      </c>
      <c r="X3" s="12">
        <v>19584</v>
      </c>
      <c r="Y3" s="12">
        <v>19580</v>
      </c>
      <c r="Z3" s="5">
        <v>20511</v>
      </c>
      <c r="AA3" s="5">
        <v>19597</v>
      </c>
      <c r="AB3" s="5">
        <v>19386</v>
      </c>
      <c r="AC3" s="13">
        <f t="shared" ca="1" si="0"/>
        <v>19386</v>
      </c>
      <c r="AD3" s="13">
        <v>18054</v>
      </c>
    </row>
    <row r="4" spans="1:32" x14ac:dyDescent="0.2">
      <c r="A4" s="1" t="s">
        <v>15</v>
      </c>
      <c r="B4" s="1" t="s">
        <v>16</v>
      </c>
      <c r="C4" s="1" t="s">
        <v>20</v>
      </c>
      <c r="D4" s="10">
        <v>227</v>
      </c>
      <c r="E4" s="10">
        <v>267</v>
      </c>
      <c r="F4" s="10">
        <v>314</v>
      </c>
      <c r="G4" s="10">
        <v>302</v>
      </c>
      <c r="H4" s="10">
        <v>309</v>
      </c>
      <c r="I4" s="10">
        <v>319</v>
      </c>
      <c r="J4" s="10">
        <v>323</v>
      </c>
      <c r="K4" s="10">
        <v>331</v>
      </c>
      <c r="L4" s="10">
        <v>339</v>
      </c>
      <c r="M4" s="10">
        <v>358</v>
      </c>
      <c r="N4" s="10">
        <v>398</v>
      </c>
      <c r="O4" s="10">
        <v>408</v>
      </c>
      <c r="P4" s="2">
        <v>430</v>
      </c>
      <c r="Q4" s="2">
        <v>452</v>
      </c>
      <c r="R4" s="3">
        <v>427</v>
      </c>
      <c r="S4" s="3">
        <v>403</v>
      </c>
      <c r="T4" s="2">
        <v>270</v>
      </c>
      <c r="U4" s="3">
        <v>291</v>
      </c>
      <c r="V4" s="3">
        <v>274</v>
      </c>
      <c r="W4" s="4">
        <v>237</v>
      </c>
      <c r="X4" s="12">
        <v>253</v>
      </c>
      <c r="Y4" s="12">
        <v>268</v>
      </c>
      <c r="Z4" s="3">
        <v>337</v>
      </c>
      <c r="AA4" s="3">
        <v>306</v>
      </c>
      <c r="AB4" s="3">
        <v>306</v>
      </c>
      <c r="AC4" s="13">
        <f t="shared" ca="1" si="0"/>
        <v>306</v>
      </c>
      <c r="AD4" s="13">
        <v>283</v>
      </c>
    </row>
    <row r="5" spans="1:32" x14ac:dyDescent="0.2">
      <c r="A5" s="1" t="s">
        <v>15</v>
      </c>
      <c r="B5" s="1" t="s">
        <v>16</v>
      </c>
      <c r="C5" s="1" t="s">
        <v>21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 t="s">
        <v>18</v>
      </c>
      <c r="L5" s="10" t="s">
        <v>18</v>
      </c>
      <c r="M5" s="10" t="s">
        <v>18</v>
      </c>
      <c r="N5" s="10" t="s">
        <v>18</v>
      </c>
      <c r="O5" s="10" t="s">
        <v>18</v>
      </c>
      <c r="P5" s="2" t="s">
        <v>18</v>
      </c>
      <c r="Q5" s="2" t="s">
        <v>18</v>
      </c>
      <c r="R5" s="2" t="s">
        <v>18</v>
      </c>
      <c r="S5" s="2" t="s">
        <v>18</v>
      </c>
      <c r="T5" s="2" t="s">
        <v>18</v>
      </c>
      <c r="U5" s="3" t="s">
        <v>18</v>
      </c>
      <c r="V5" s="3" t="s">
        <v>18</v>
      </c>
      <c r="W5" s="4" t="s">
        <v>18</v>
      </c>
      <c r="X5" s="11" t="s">
        <v>18</v>
      </c>
      <c r="Y5" s="11" t="s">
        <v>18</v>
      </c>
      <c r="Z5" s="3" t="s">
        <v>18</v>
      </c>
      <c r="AA5" s="3" t="s">
        <v>18</v>
      </c>
      <c r="AB5" s="3" t="s">
        <v>18</v>
      </c>
      <c r="AC5" s="13" t="str">
        <f t="shared" si="0"/>
        <v>-</v>
      </c>
      <c r="AD5" s="14" t="s">
        <v>18</v>
      </c>
    </row>
    <row r="6" spans="1:32" x14ac:dyDescent="0.2">
      <c r="A6" s="1" t="s">
        <v>15</v>
      </c>
      <c r="B6" s="1" t="s">
        <v>16</v>
      </c>
      <c r="C6" s="1" t="s">
        <v>22</v>
      </c>
      <c r="D6" s="10">
        <v>106</v>
      </c>
      <c r="E6" s="10">
        <v>106</v>
      </c>
      <c r="F6" s="10">
        <v>106</v>
      </c>
      <c r="G6" s="10">
        <v>106</v>
      </c>
      <c r="H6" s="10">
        <v>106</v>
      </c>
      <c r="I6" s="10">
        <v>106</v>
      </c>
      <c r="J6" s="10">
        <v>106</v>
      </c>
      <c r="K6" s="10">
        <v>106</v>
      </c>
      <c r="L6" s="10">
        <v>106</v>
      </c>
      <c r="M6" s="10">
        <v>106</v>
      </c>
      <c r="N6" s="10">
        <v>106</v>
      </c>
      <c r="O6" s="10">
        <v>106</v>
      </c>
      <c r="P6" s="2">
        <v>106</v>
      </c>
      <c r="Q6" s="2">
        <v>106</v>
      </c>
      <c r="R6" s="3">
        <v>106</v>
      </c>
      <c r="S6" s="3">
        <v>106</v>
      </c>
      <c r="T6" s="2">
        <v>106</v>
      </c>
      <c r="U6" s="3">
        <v>106</v>
      </c>
      <c r="V6" s="3">
        <v>106</v>
      </c>
      <c r="W6" s="4">
        <v>106</v>
      </c>
      <c r="X6" s="12">
        <v>106</v>
      </c>
      <c r="Y6" s="12">
        <v>106</v>
      </c>
      <c r="Z6" s="3">
        <v>106</v>
      </c>
      <c r="AA6" s="3">
        <v>106</v>
      </c>
      <c r="AB6" s="3">
        <v>106</v>
      </c>
      <c r="AC6" s="13">
        <f t="shared" ca="1" si="0"/>
        <v>106</v>
      </c>
      <c r="AD6" s="13">
        <v>106</v>
      </c>
    </row>
    <row r="7" spans="1:32" x14ac:dyDescent="0.2">
      <c r="A7" s="1" t="s">
        <v>15</v>
      </c>
      <c r="B7" s="1" t="s">
        <v>23</v>
      </c>
      <c r="C7" s="1" t="s">
        <v>24</v>
      </c>
      <c r="D7" s="10">
        <v>35550</v>
      </c>
      <c r="E7" s="10">
        <v>36638</v>
      </c>
      <c r="F7" s="10">
        <v>37759</v>
      </c>
      <c r="G7" s="10">
        <v>38048</v>
      </c>
      <c r="H7" s="10">
        <v>39236</v>
      </c>
      <c r="I7" s="10">
        <v>40115</v>
      </c>
      <c r="J7" s="10">
        <v>41183</v>
      </c>
      <c r="K7" s="10">
        <v>42067</v>
      </c>
      <c r="L7" s="10">
        <v>43149</v>
      </c>
      <c r="M7" s="10">
        <v>43872</v>
      </c>
      <c r="N7" s="10">
        <v>44083</v>
      </c>
      <c r="O7" s="10">
        <v>44891</v>
      </c>
      <c r="P7" s="2">
        <v>45486</v>
      </c>
      <c r="Q7" s="2">
        <v>46081</v>
      </c>
      <c r="R7" s="3">
        <v>46355</v>
      </c>
      <c r="S7" s="3">
        <v>48497</v>
      </c>
      <c r="T7" s="2">
        <v>46334</v>
      </c>
      <c r="U7" s="5">
        <v>47012</v>
      </c>
      <c r="V7" s="5">
        <v>48206</v>
      </c>
      <c r="W7" s="4">
        <v>47748</v>
      </c>
      <c r="X7" s="12">
        <v>48609</v>
      </c>
      <c r="Y7" s="12">
        <v>49470</v>
      </c>
      <c r="Z7" s="5">
        <v>51110</v>
      </c>
      <c r="AA7" s="5">
        <v>50804</v>
      </c>
      <c r="AB7" s="5">
        <v>51139</v>
      </c>
      <c r="AC7" s="13">
        <f t="shared" ca="1" si="0"/>
        <v>51139</v>
      </c>
      <c r="AD7" s="13">
        <v>49782</v>
      </c>
    </row>
    <row r="8" spans="1:32" x14ac:dyDescent="0.2">
      <c r="A8" s="1" t="s">
        <v>15</v>
      </c>
      <c r="B8" s="1" t="s">
        <v>23</v>
      </c>
      <c r="C8" s="1" t="s">
        <v>25</v>
      </c>
      <c r="D8" s="10">
        <v>1858</v>
      </c>
      <c r="E8" s="10">
        <v>1820</v>
      </c>
      <c r="F8" s="10">
        <v>1783</v>
      </c>
      <c r="G8" s="10">
        <v>1789</v>
      </c>
      <c r="H8" s="10">
        <v>1725</v>
      </c>
      <c r="I8" s="10">
        <v>2427</v>
      </c>
      <c r="J8" s="10">
        <v>2463</v>
      </c>
      <c r="K8" s="10">
        <v>2517</v>
      </c>
      <c r="L8" s="10">
        <v>2604</v>
      </c>
      <c r="M8" s="10">
        <v>2748</v>
      </c>
      <c r="N8" s="10">
        <v>2883</v>
      </c>
      <c r="O8" s="10">
        <v>2960</v>
      </c>
      <c r="P8" s="2">
        <v>3068</v>
      </c>
      <c r="Q8" s="2">
        <v>3176</v>
      </c>
      <c r="R8" s="3">
        <v>3228</v>
      </c>
      <c r="S8" s="3">
        <v>3413</v>
      </c>
      <c r="T8" s="2">
        <v>3198</v>
      </c>
      <c r="U8" s="5">
        <v>3104</v>
      </c>
      <c r="V8" s="5">
        <v>3157</v>
      </c>
      <c r="W8" s="4">
        <v>3148</v>
      </c>
      <c r="X8" s="12">
        <v>3123</v>
      </c>
      <c r="Y8" s="12">
        <v>3098</v>
      </c>
      <c r="Z8" s="5">
        <v>3057</v>
      </c>
      <c r="AA8" s="5">
        <v>3064</v>
      </c>
      <c r="AB8" s="5">
        <v>3054</v>
      </c>
      <c r="AC8" s="13">
        <f t="shared" ca="1" si="0"/>
        <v>3054</v>
      </c>
      <c r="AD8" s="13">
        <v>2883</v>
      </c>
    </row>
    <row r="9" spans="1:32" x14ac:dyDescent="0.2">
      <c r="A9" s="1" t="s">
        <v>15</v>
      </c>
      <c r="B9" s="1" t="s">
        <v>23</v>
      </c>
      <c r="C9" s="1" t="s">
        <v>26</v>
      </c>
      <c r="D9" s="10">
        <v>5864</v>
      </c>
      <c r="E9" s="10">
        <v>6486</v>
      </c>
      <c r="F9" s="10">
        <v>7174</v>
      </c>
      <c r="G9" s="10">
        <v>7150</v>
      </c>
      <c r="H9" s="10">
        <v>7723</v>
      </c>
      <c r="I9" s="10">
        <v>7920</v>
      </c>
      <c r="J9" s="10">
        <v>8118</v>
      </c>
      <c r="K9" s="10">
        <v>8397</v>
      </c>
      <c r="L9" s="10">
        <v>8713</v>
      </c>
      <c r="M9" s="10">
        <v>9026</v>
      </c>
      <c r="N9" s="10">
        <v>9043</v>
      </c>
      <c r="O9" s="10">
        <v>9368</v>
      </c>
      <c r="P9" s="2">
        <v>9588</v>
      </c>
      <c r="Q9" s="2">
        <v>9808</v>
      </c>
      <c r="R9" s="3">
        <v>9862</v>
      </c>
      <c r="S9" s="3">
        <v>10315</v>
      </c>
      <c r="T9" s="2">
        <v>9679</v>
      </c>
      <c r="U9" s="5">
        <v>9112</v>
      </c>
      <c r="V9" s="5">
        <v>9305</v>
      </c>
      <c r="W9" s="4">
        <v>9230</v>
      </c>
      <c r="X9" s="12">
        <v>9178</v>
      </c>
      <c r="Y9" s="12">
        <v>9125</v>
      </c>
      <c r="Z9" s="5">
        <v>9268</v>
      </c>
      <c r="AA9" s="5">
        <v>9229</v>
      </c>
      <c r="AB9" s="5">
        <v>9230</v>
      </c>
      <c r="AC9" s="13">
        <f t="shared" ca="1" si="0"/>
        <v>9230</v>
      </c>
      <c r="AD9" s="13">
        <v>11738</v>
      </c>
    </row>
    <row r="10" spans="1:32" x14ac:dyDescent="0.2">
      <c r="A10" s="1" t="s">
        <v>15</v>
      </c>
      <c r="B10" s="1" t="s">
        <v>23</v>
      </c>
      <c r="C10" s="1" t="s">
        <v>27</v>
      </c>
      <c r="D10" s="10">
        <v>71964</v>
      </c>
      <c r="E10" s="10">
        <v>70213</v>
      </c>
      <c r="F10" s="10">
        <v>68505</v>
      </c>
      <c r="G10" s="10">
        <v>73263</v>
      </c>
      <c r="H10" s="10">
        <v>74778</v>
      </c>
      <c r="I10" s="10">
        <v>78638</v>
      </c>
      <c r="J10" s="10">
        <v>79842</v>
      </c>
      <c r="K10" s="10">
        <v>81536</v>
      </c>
      <c r="L10" s="10">
        <v>83127</v>
      </c>
      <c r="M10" s="10">
        <v>84418</v>
      </c>
      <c r="N10" s="10">
        <v>84623</v>
      </c>
      <c r="O10" s="10">
        <v>82556</v>
      </c>
      <c r="P10" s="2">
        <v>81806</v>
      </c>
      <c r="Q10" s="2">
        <v>81056</v>
      </c>
      <c r="R10" s="3">
        <v>81236</v>
      </c>
      <c r="S10" s="3">
        <v>84677</v>
      </c>
      <c r="T10" s="2">
        <v>83638</v>
      </c>
      <c r="U10" s="5">
        <v>79884</v>
      </c>
      <c r="V10" s="5">
        <v>81093</v>
      </c>
      <c r="W10" s="4">
        <v>81479</v>
      </c>
      <c r="X10" s="12">
        <v>80893</v>
      </c>
      <c r="Y10" s="12">
        <v>80306</v>
      </c>
      <c r="Z10" s="5">
        <v>79986</v>
      </c>
      <c r="AA10" s="5">
        <v>79958</v>
      </c>
      <c r="AB10" s="5">
        <v>79806</v>
      </c>
      <c r="AC10" s="13">
        <f t="shared" ca="1" si="0"/>
        <v>79806</v>
      </c>
      <c r="AD10" s="13">
        <v>84843</v>
      </c>
    </row>
    <row r="11" spans="1:32" x14ac:dyDescent="0.2">
      <c r="A11" s="1" t="s">
        <v>15</v>
      </c>
      <c r="B11" s="1" t="s">
        <v>23</v>
      </c>
      <c r="C11" s="1" t="s">
        <v>28</v>
      </c>
      <c r="D11" s="10">
        <v>232749</v>
      </c>
      <c r="E11" s="10">
        <v>242993</v>
      </c>
      <c r="F11" s="10">
        <v>253688</v>
      </c>
      <c r="G11" s="10">
        <v>229817</v>
      </c>
      <c r="H11" s="10">
        <v>232951</v>
      </c>
      <c r="I11" s="10" t="s">
        <v>29</v>
      </c>
      <c r="J11" s="10" t="s">
        <v>30</v>
      </c>
      <c r="K11" s="10" t="s">
        <v>31</v>
      </c>
      <c r="L11" s="10" t="s">
        <v>32</v>
      </c>
      <c r="M11" s="10" t="s">
        <v>33</v>
      </c>
      <c r="N11" s="10" t="s">
        <v>34</v>
      </c>
      <c r="O11" s="10" t="s">
        <v>35</v>
      </c>
      <c r="P11" s="2">
        <v>295402</v>
      </c>
      <c r="Q11" s="2">
        <v>306716</v>
      </c>
      <c r="R11" s="3">
        <v>294711</v>
      </c>
      <c r="S11" s="3">
        <v>294331</v>
      </c>
      <c r="T11" s="2" t="s">
        <v>129</v>
      </c>
      <c r="U11" s="3" t="s">
        <v>151</v>
      </c>
      <c r="V11" s="3" t="s">
        <v>141</v>
      </c>
      <c r="W11" s="4">
        <v>190412</v>
      </c>
      <c r="X11" s="12">
        <v>198533</v>
      </c>
      <c r="Y11" s="12">
        <v>206655</v>
      </c>
      <c r="Z11" s="3" t="s">
        <v>166</v>
      </c>
      <c r="AA11" s="3">
        <v>229539</v>
      </c>
      <c r="AB11" s="3">
        <v>229619</v>
      </c>
      <c r="AC11" s="13">
        <f t="shared" ca="1" si="0"/>
        <v>229619</v>
      </c>
      <c r="AD11" s="13">
        <v>238024</v>
      </c>
    </row>
    <row r="12" spans="1:32" x14ac:dyDescent="0.2">
      <c r="A12" s="1" t="s">
        <v>15</v>
      </c>
      <c r="B12" s="1" t="s">
        <v>23</v>
      </c>
      <c r="C12" s="1" t="s">
        <v>36</v>
      </c>
      <c r="D12" s="10">
        <v>75862</v>
      </c>
      <c r="E12" s="10">
        <v>63740</v>
      </c>
      <c r="F12" s="10">
        <v>53555</v>
      </c>
      <c r="G12" s="10">
        <v>68500</v>
      </c>
      <c r="H12" s="10">
        <v>98599</v>
      </c>
      <c r="I12" s="10">
        <v>79484</v>
      </c>
      <c r="J12" s="10">
        <v>81327</v>
      </c>
      <c r="K12" s="10">
        <v>84612</v>
      </c>
      <c r="L12" s="10">
        <v>88943</v>
      </c>
      <c r="M12" s="10" t="s">
        <v>37</v>
      </c>
      <c r="N12" s="10" t="s">
        <v>38</v>
      </c>
      <c r="O12" s="10" t="s">
        <v>39</v>
      </c>
      <c r="P12" s="2">
        <v>200858</v>
      </c>
      <c r="Q12" s="2">
        <v>229496</v>
      </c>
      <c r="R12" s="3">
        <v>241671</v>
      </c>
      <c r="S12" s="3">
        <v>269912</v>
      </c>
      <c r="T12" s="2" t="s">
        <v>130</v>
      </c>
      <c r="U12" s="3" t="s">
        <v>152</v>
      </c>
      <c r="V12" s="3" t="s">
        <v>142</v>
      </c>
      <c r="W12" s="4">
        <v>168639</v>
      </c>
      <c r="X12" s="12">
        <v>171404</v>
      </c>
      <c r="Y12" s="12">
        <v>174170</v>
      </c>
      <c r="Z12" s="3" t="s">
        <v>167</v>
      </c>
      <c r="AA12" s="3">
        <v>179991</v>
      </c>
      <c r="AB12" s="3">
        <v>179909</v>
      </c>
      <c r="AC12" s="13">
        <f t="shared" ca="1" si="0"/>
        <v>179909</v>
      </c>
      <c r="AD12" s="13">
        <v>173515</v>
      </c>
    </row>
    <row r="13" spans="1:32" x14ac:dyDescent="0.2">
      <c r="A13" s="1" t="s">
        <v>15</v>
      </c>
      <c r="B13" s="1" t="s">
        <v>23</v>
      </c>
      <c r="C13" s="1" t="s">
        <v>40</v>
      </c>
      <c r="D13" s="10">
        <v>120329</v>
      </c>
      <c r="E13" s="10">
        <v>127681</v>
      </c>
      <c r="F13" s="10">
        <v>135482</v>
      </c>
      <c r="G13" s="10">
        <v>131019</v>
      </c>
      <c r="H13" s="10">
        <v>132408</v>
      </c>
      <c r="I13" s="10" t="s">
        <v>41</v>
      </c>
      <c r="J13" s="10" t="s">
        <v>42</v>
      </c>
      <c r="K13" s="10" t="s">
        <v>43</v>
      </c>
      <c r="L13" s="10" t="s">
        <v>44</v>
      </c>
      <c r="M13" s="10" t="s">
        <v>45</v>
      </c>
      <c r="N13" s="10" t="s">
        <v>46</v>
      </c>
      <c r="O13" s="10" t="s">
        <v>47</v>
      </c>
      <c r="P13" s="2">
        <v>154289</v>
      </c>
      <c r="Q13" s="2">
        <v>157676</v>
      </c>
      <c r="R13" s="3">
        <v>157087</v>
      </c>
      <c r="S13" s="3">
        <v>162791</v>
      </c>
      <c r="T13" s="2" t="s">
        <v>131</v>
      </c>
      <c r="U13" s="3" t="s">
        <v>153</v>
      </c>
      <c r="V13" s="3" t="s">
        <v>143</v>
      </c>
      <c r="W13" s="4">
        <v>146511</v>
      </c>
      <c r="X13" s="12">
        <v>148663</v>
      </c>
      <c r="Y13" s="12">
        <v>150815</v>
      </c>
      <c r="Z13" s="3" t="s">
        <v>168</v>
      </c>
      <c r="AA13" s="3">
        <v>155085</v>
      </c>
      <c r="AB13" s="3">
        <v>155321</v>
      </c>
      <c r="AC13" s="13">
        <f t="shared" ca="1" si="0"/>
        <v>155321</v>
      </c>
      <c r="AD13" s="13">
        <v>162351</v>
      </c>
    </row>
    <row r="14" spans="1:32" x14ac:dyDescent="0.2">
      <c r="A14" s="1" t="s">
        <v>15</v>
      </c>
      <c r="B14" s="1" t="s">
        <v>23</v>
      </c>
      <c r="C14" s="1" t="s">
        <v>48</v>
      </c>
      <c r="D14" s="10">
        <v>33458</v>
      </c>
      <c r="E14" s="10">
        <v>28690</v>
      </c>
      <c r="F14" s="10">
        <v>24601</v>
      </c>
      <c r="G14" s="10">
        <v>30975</v>
      </c>
      <c r="H14" s="10">
        <v>33624</v>
      </c>
      <c r="I14" s="10">
        <v>36455</v>
      </c>
      <c r="J14" s="10">
        <v>37648</v>
      </c>
      <c r="K14" s="10">
        <v>39982</v>
      </c>
      <c r="L14" s="10">
        <v>42731</v>
      </c>
      <c r="M14" s="10">
        <v>50184</v>
      </c>
      <c r="N14" s="10">
        <v>57210</v>
      </c>
      <c r="O14" s="10">
        <v>65597</v>
      </c>
      <c r="P14" s="2">
        <v>73375</v>
      </c>
      <c r="Q14" s="2">
        <v>81153</v>
      </c>
      <c r="R14" s="3">
        <v>84292</v>
      </c>
      <c r="S14" s="3">
        <v>91544</v>
      </c>
      <c r="T14" s="2">
        <v>74927</v>
      </c>
      <c r="U14" s="5">
        <v>73982</v>
      </c>
      <c r="V14" s="5">
        <v>76417</v>
      </c>
      <c r="W14" s="4">
        <v>74001</v>
      </c>
      <c r="X14" s="12">
        <v>76698</v>
      </c>
      <c r="Y14" s="12">
        <v>79396</v>
      </c>
      <c r="Z14" s="5">
        <v>88105</v>
      </c>
      <c r="AA14" s="5">
        <v>85353</v>
      </c>
      <c r="AB14" s="5">
        <v>86391</v>
      </c>
      <c r="AC14" s="13">
        <f t="shared" ca="1" si="0"/>
        <v>86391</v>
      </c>
      <c r="AD14" s="13">
        <v>91784</v>
      </c>
    </row>
    <row r="15" spans="1:32" x14ac:dyDescent="0.2">
      <c r="A15" s="1" t="s">
        <v>15</v>
      </c>
      <c r="B15" s="1" t="s">
        <v>49</v>
      </c>
      <c r="C15" s="1" t="s">
        <v>50</v>
      </c>
      <c r="D15" s="10">
        <v>245157</v>
      </c>
      <c r="E15" s="10">
        <v>246726</v>
      </c>
      <c r="F15" s="10">
        <v>248305</v>
      </c>
      <c r="G15" s="10">
        <v>235711</v>
      </c>
      <c r="H15" s="10">
        <v>237839</v>
      </c>
      <c r="I15" s="10" t="s">
        <v>51</v>
      </c>
      <c r="J15" s="10" t="s">
        <v>52</v>
      </c>
      <c r="K15" s="10" t="s">
        <v>53</v>
      </c>
      <c r="L15" s="10" t="s">
        <v>54</v>
      </c>
      <c r="M15" s="10" t="s">
        <v>55</v>
      </c>
      <c r="N15" s="10" t="s">
        <v>56</v>
      </c>
      <c r="O15" s="10" t="s">
        <v>57</v>
      </c>
      <c r="P15" s="2">
        <v>296538</v>
      </c>
      <c r="Q15" s="2">
        <v>303714</v>
      </c>
      <c r="R15" s="3">
        <v>297755</v>
      </c>
      <c r="S15" s="3">
        <v>303545</v>
      </c>
      <c r="T15" s="2" t="s">
        <v>132</v>
      </c>
      <c r="U15" s="3" t="s">
        <v>154</v>
      </c>
      <c r="V15" s="3" t="s">
        <v>144</v>
      </c>
      <c r="W15" s="4">
        <v>257190</v>
      </c>
      <c r="X15" s="12">
        <v>260444</v>
      </c>
      <c r="Y15" s="12">
        <v>263698</v>
      </c>
      <c r="Z15" s="3" t="s">
        <v>169</v>
      </c>
      <c r="AA15" s="3">
        <v>269169</v>
      </c>
      <c r="AB15" s="3">
        <v>269558</v>
      </c>
      <c r="AC15" s="13">
        <f t="shared" ca="1" si="0"/>
        <v>269558</v>
      </c>
      <c r="AD15" s="13">
        <v>311607</v>
      </c>
    </row>
    <row r="16" spans="1:32" x14ac:dyDescent="0.2">
      <c r="A16" s="1" t="s">
        <v>15</v>
      </c>
      <c r="B16" s="1" t="s">
        <v>49</v>
      </c>
      <c r="C16" s="1" t="s">
        <v>58</v>
      </c>
      <c r="D16" s="10">
        <v>96559</v>
      </c>
      <c r="E16" s="10">
        <v>87884</v>
      </c>
      <c r="F16" s="10">
        <v>79988</v>
      </c>
      <c r="G16" s="10">
        <v>87364</v>
      </c>
      <c r="H16" s="10">
        <v>91089</v>
      </c>
      <c r="I16" s="10" t="s">
        <v>59</v>
      </c>
      <c r="J16" s="10" t="s">
        <v>60</v>
      </c>
      <c r="K16" s="10" t="s">
        <v>61</v>
      </c>
      <c r="L16" s="10" t="s">
        <v>62</v>
      </c>
      <c r="M16" s="10" t="s">
        <v>63</v>
      </c>
      <c r="N16" s="10" t="s">
        <v>64</v>
      </c>
      <c r="O16" s="10" t="s">
        <v>65</v>
      </c>
      <c r="P16" s="2">
        <v>145783</v>
      </c>
      <c r="Q16" s="2">
        <v>152795</v>
      </c>
      <c r="R16" s="3">
        <v>148080</v>
      </c>
      <c r="S16" s="3">
        <v>149270</v>
      </c>
      <c r="T16" s="2" t="s">
        <v>133</v>
      </c>
      <c r="U16" s="3" t="s">
        <v>155</v>
      </c>
      <c r="V16" s="3" t="s">
        <v>145</v>
      </c>
      <c r="W16" s="4">
        <v>108615</v>
      </c>
      <c r="X16" s="12">
        <v>112718</v>
      </c>
      <c r="Y16" s="12">
        <v>116820</v>
      </c>
      <c r="Z16" s="3" t="s">
        <v>170</v>
      </c>
      <c r="AA16" s="3">
        <v>125689</v>
      </c>
      <c r="AB16" s="3">
        <v>126703</v>
      </c>
      <c r="AC16" s="13">
        <f t="shared" ca="1" si="0"/>
        <v>126703</v>
      </c>
      <c r="AD16" s="13">
        <v>136274</v>
      </c>
    </row>
    <row r="17" spans="1:30" x14ac:dyDescent="0.2">
      <c r="A17" s="1" t="s">
        <v>15</v>
      </c>
      <c r="B17" s="1" t="s">
        <v>49</v>
      </c>
      <c r="C17" s="1" t="s">
        <v>66</v>
      </c>
      <c r="D17" s="10">
        <v>651237</v>
      </c>
      <c r="E17" s="10">
        <v>671360</v>
      </c>
      <c r="F17" s="10">
        <v>692105</v>
      </c>
      <c r="G17" s="10">
        <v>676705</v>
      </c>
      <c r="H17" s="10">
        <v>673347</v>
      </c>
      <c r="I17" s="10" t="s">
        <v>67</v>
      </c>
      <c r="J17" s="10" t="s">
        <v>68</v>
      </c>
      <c r="K17" s="10" t="s">
        <v>69</v>
      </c>
      <c r="L17" s="10" t="s">
        <v>70</v>
      </c>
      <c r="M17" s="10" t="s">
        <v>71</v>
      </c>
      <c r="N17" s="10" t="s">
        <v>72</v>
      </c>
      <c r="O17" s="10" t="s">
        <v>73</v>
      </c>
      <c r="P17" s="2">
        <v>648993</v>
      </c>
      <c r="Q17" s="2">
        <v>615137</v>
      </c>
      <c r="R17" s="3">
        <v>601400</v>
      </c>
      <c r="S17" s="3">
        <v>611907</v>
      </c>
      <c r="T17" s="2" t="s">
        <v>134</v>
      </c>
      <c r="U17" s="3" t="s">
        <v>156</v>
      </c>
      <c r="V17" s="3" t="s">
        <v>146</v>
      </c>
      <c r="W17" s="4">
        <v>639961</v>
      </c>
      <c r="X17" s="12">
        <v>658429</v>
      </c>
      <c r="Y17" s="12">
        <v>676897</v>
      </c>
      <c r="Z17" s="3" t="s">
        <v>171</v>
      </c>
      <c r="AA17" s="3">
        <v>705930</v>
      </c>
      <c r="AB17" s="3">
        <v>713077</v>
      </c>
      <c r="AC17" s="13">
        <f t="shared" ca="1" si="0"/>
        <v>713077</v>
      </c>
      <c r="AD17" s="13">
        <v>811831</v>
      </c>
    </row>
    <row r="18" spans="1:30" x14ac:dyDescent="0.2">
      <c r="A18" s="1" t="s">
        <v>15</v>
      </c>
      <c r="B18" s="1" t="s">
        <v>49</v>
      </c>
      <c r="C18" s="1" t="s">
        <v>74</v>
      </c>
      <c r="D18" s="10">
        <v>562535</v>
      </c>
      <c r="E18" s="10">
        <v>602579</v>
      </c>
      <c r="F18" s="10">
        <v>645474</v>
      </c>
      <c r="G18" s="10">
        <v>567830</v>
      </c>
      <c r="H18" s="10">
        <v>582701</v>
      </c>
      <c r="I18" s="10" t="s">
        <v>75</v>
      </c>
      <c r="J18" s="10" t="s">
        <v>76</v>
      </c>
      <c r="K18" s="10" t="s">
        <v>77</v>
      </c>
      <c r="L18" s="10" t="s">
        <v>78</v>
      </c>
      <c r="M18" s="10" t="s">
        <v>79</v>
      </c>
      <c r="N18" s="10" t="s">
        <v>80</v>
      </c>
      <c r="O18" s="10" t="s">
        <v>81</v>
      </c>
      <c r="P18" s="2">
        <v>859755</v>
      </c>
      <c r="Q18" s="2">
        <v>912668</v>
      </c>
      <c r="R18" s="3">
        <v>902394</v>
      </c>
      <c r="S18" s="3">
        <v>930324</v>
      </c>
      <c r="T18" s="2" t="s">
        <v>135</v>
      </c>
      <c r="U18" s="3" t="s">
        <v>157</v>
      </c>
      <c r="V18" s="3" t="s">
        <v>147</v>
      </c>
      <c r="W18" s="4">
        <v>688213</v>
      </c>
      <c r="X18" s="12">
        <v>694998</v>
      </c>
      <c r="Y18" s="12">
        <v>701782</v>
      </c>
      <c r="Z18" s="3" t="s">
        <v>172</v>
      </c>
      <c r="AA18" s="3">
        <v>721744</v>
      </c>
      <c r="AB18" s="3">
        <v>721187</v>
      </c>
      <c r="AC18" s="13">
        <f t="shared" ca="1" si="0"/>
        <v>721187</v>
      </c>
      <c r="AD18" s="13">
        <v>773824</v>
      </c>
    </row>
    <row r="19" spans="1:30" x14ac:dyDescent="0.2">
      <c r="A19" s="1" t="s">
        <v>82</v>
      </c>
      <c r="B19" s="1" t="s">
        <v>16</v>
      </c>
      <c r="C19" s="1" t="s">
        <v>83</v>
      </c>
      <c r="D19" s="10">
        <v>9702</v>
      </c>
      <c r="E19" s="10">
        <v>11370</v>
      </c>
      <c r="F19" s="10">
        <v>13325</v>
      </c>
      <c r="G19" s="10">
        <v>11939</v>
      </c>
      <c r="H19" s="10">
        <v>11691</v>
      </c>
      <c r="I19" s="10">
        <v>11364</v>
      </c>
      <c r="J19" s="10">
        <v>11487</v>
      </c>
      <c r="K19" s="10">
        <v>11736</v>
      </c>
      <c r="L19" s="10">
        <v>11892</v>
      </c>
      <c r="M19" s="10">
        <v>12231</v>
      </c>
      <c r="N19" s="10">
        <v>9795</v>
      </c>
      <c r="O19" s="10">
        <v>9153</v>
      </c>
      <c r="P19" s="2">
        <v>8076</v>
      </c>
      <c r="Q19" s="2">
        <v>7000</v>
      </c>
      <c r="R19" s="3">
        <v>6913</v>
      </c>
      <c r="S19" s="3">
        <v>6871</v>
      </c>
      <c r="T19" s="2">
        <v>8349</v>
      </c>
      <c r="U19" s="5">
        <v>7614</v>
      </c>
      <c r="V19" s="5">
        <v>7929</v>
      </c>
      <c r="W19" s="4">
        <v>8147</v>
      </c>
      <c r="X19" s="12">
        <v>8076</v>
      </c>
      <c r="Y19" s="12">
        <v>8006</v>
      </c>
      <c r="Z19" s="5">
        <v>7929</v>
      </c>
      <c r="AA19" s="5">
        <v>7989</v>
      </c>
      <c r="AB19" s="5">
        <v>7993</v>
      </c>
      <c r="AC19" s="13">
        <f t="shared" ca="1" si="0"/>
        <v>7993</v>
      </c>
      <c r="AD19" s="13">
        <v>7759</v>
      </c>
    </row>
    <row r="20" spans="1:30" x14ac:dyDescent="0.2">
      <c r="A20" s="1" t="s">
        <v>82</v>
      </c>
      <c r="B20" s="1" t="s">
        <v>16</v>
      </c>
      <c r="C20" s="1" t="s">
        <v>84</v>
      </c>
      <c r="D20" s="10">
        <v>1136</v>
      </c>
      <c r="E20" s="10">
        <v>1297</v>
      </c>
      <c r="F20" s="10">
        <v>1481</v>
      </c>
      <c r="G20" s="10">
        <v>1391</v>
      </c>
      <c r="H20" s="10">
        <v>1411</v>
      </c>
      <c r="I20" s="10">
        <v>1442</v>
      </c>
      <c r="J20" s="10">
        <v>1446</v>
      </c>
      <c r="K20" s="10">
        <v>1479</v>
      </c>
      <c r="L20" s="10">
        <v>1503</v>
      </c>
      <c r="M20" s="10">
        <v>1548</v>
      </c>
      <c r="N20" s="10">
        <v>1423</v>
      </c>
      <c r="O20" s="10">
        <v>1362</v>
      </c>
      <c r="P20" s="2">
        <v>1297</v>
      </c>
      <c r="Q20" s="2">
        <v>1232</v>
      </c>
      <c r="R20" s="3">
        <v>1228</v>
      </c>
      <c r="S20" s="3">
        <v>1226</v>
      </c>
      <c r="T20" s="2">
        <v>1354</v>
      </c>
      <c r="U20" s="5">
        <v>1221</v>
      </c>
      <c r="V20" s="5">
        <v>1247</v>
      </c>
      <c r="W20" s="4">
        <v>1271</v>
      </c>
      <c r="X20" s="12">
        <v>1286</v>
      </c>
      <c r="Y20" s="12">
        <v>1300</v>
      </c>
      <c r="Z20" s="5">
        <v>1400</v>
      </c>
      <c r="AA20" s="5">
        <v>1372</v>
      </c>
      <c r="AB20" s="5">
        <v>1384</v>
      </c>
      <c r="AC20" s="13">
        <f t="shared" ca="1" si="0"/>
        <v>1384</v>
      </c>
      <c r="AD20" s="13">
        <v>1405</v>
      </c>
    </row>
    <row r="21" spans="1:30" x14ac:dyDescent="0.2">
      <c r="A21" s="1" t="s">
        <v>82</v>
      </c>
      <c r="B21" s="1" t="s">
        <v>16</v>
      </c>
      <c r="C21" s="1" t="s">
        <v>85</v>
      </c>
      <c r="D21" s="10">
        <v>2169</v>
      </c>
      <c r="E21" s="10">
        <v>2540</v>
      </c>
      <c r="F21" s="10">
        <v>2974</v>
      </c>
      <c r="G21" s="10">
        <v>2626</v>
      </c>
      <c r="H21" s="10">
        <v>2606</v>
      </c>
      <c r="I21" s="10">
        <v>2458</v>
      </c>
      <c r="J21" s="10">
        <v>2487</v>
      </c>
      <c r="K21" s="10">
        <v>2553</v>
      </c>
      <c r="L21" s="10">
        <v>2612</v>
      </c>
      <c r="M21" s="10">
        <v>2701</v>
      </c>
      <c r="N21" s="10">
        <v>2243</v>
      </c>
      <c r="O21" s="10">
        <v>2163</v>
      </c>
      <c r="P21" s="2">
        <v>1985</v>
      </c>
      <c r="Q21" s="2">
        <v>1807</v>
      </c>
      <c r="R21" s="3">
        <v>1767</v>
      </c>
      <c r="S21" s="3">
        <v>1734</v>
      </c>
      <c r="T21" s="2">
        <v>1955</v>
      </c>
      <c r="U21" s="5">
        <v>1861</v>
      </c>
      <c r="V21" s="5">
        <v>1905</v>
      </c>
      <c r="W21" s="4">
        <v>1925</v>
      </c>
      <c r="X21" s="12">
        <v>1945</v>
      </c>
      <c r="Y21" s="12">
        <v>1965</v>
      </c>
      <c r="Z21" s="5">
        <v>2046</v>
      </c>
      <c r="AA21" s="5">
        <v>2028</v>
      </c>
      <c r="AB21" s="5">
        <v>2041</v>
      </c>
      <c r="AC21" s="13">
        <f t="shared" ca="1" si="0"/>
        <v>2041</v>
      </c>
      <c r="AD21" s="13">
        <v>2048</v>
      </c>
    </row>
    <row r="22" spans="1:30" x14ac:dyDescent="0.2">
      <c r="A22" s="1" t="s">
        <v>82</v>
      </c>
      <c r="B22" s="1" t="s">
        <v>16</v>
      </c>
      <c r="C22" s="1" t="s">
        <v>86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 t="s">
        <v>18</v>
      </c>
      <c r="J22" s="10" t="s">
        <v>18</v>
      </c>
      <c r="K22" s="10" t="s">
        <v>18</v>
      </c>
      <c r="L22" s="10" t="s">
        <v>18</v>
      </c>
      <c r="M22" s="10" t="s">
        <v>18</v>
      </c>
      <c r="N22" s="10" t="s">
        <v>18</v>
      </c>
      <c r="O22" s="10" t="s">
        <v>18</v>
      </c>
      <c r="P22" s="2" t="s">
        <v>18</v>
      </c>
      <c r="Q22" s="2" t="s">
        <v>18</v>
      </c>
      <c r="R22" s="2" t="s">
        <v>18</v>
      </c>
      <c r="S22" s="2" t="s">
        <v>18</v>
      </c>
      <c r="T22" s="2" t="s">
        <v>18</v>
      </c>
      <c r="U22" s="3" t="s">
        <v>18</v>
      </c>
      <c r="V22" s="3" t="s">
        <v>18</v>
      </c>
      <c r="W22" s="4" t="s">
        <v>18</v>
      </c>
      <c r="X22" s="11" t="s">
        <v>18</v>
      </c>
      <c r="Y22" s="11" t="s">
        <v>18</v>
      </c>
      <c r="Z22" s="3" t="s">
        <v>18</v>
      </c>
      <c r="AA22" s="3" t="s">
        <v>18</v>
      </c>
      <c r="AB22" s="3" t="s">
        <v>18</v>
      </c>
      <c r="AC22" s="13" t="str">
        <f t="shared" si="0"/>
        <v>-</v>
      </c>
      <c r="AD22" s="14" t="s">
        <v>18</v>
      </c>
    </row>
    <row r="23" spans="1:30" x14ac:dyDescent="0.2">
      <c r="A23" s="1" t="s">
        <v>82</v>
      </c>
      <c r="B23" s="1" t="s">
        <v>16</v>
      </c>
      <c r="C23" s="1" t="s">
        <v>87</v>
      </c>
      <c r="D23" s="10">
        <v>15665</v>
      </c>
      <c r="E23" s="10">
        <v>18368</v>
      </c>
      <c r="F23" s="10">
        <v>21537</v>
      </c>
      <c r="G23" s="10">
        <v>20433</v>
      </c>
      <c r="H23" s="10">
        <v>19944</v>
      </c>
      <c r="I23" s="10">
        <v>19145</v>
      </c>
      <c r="J23" s="10">
        <v>19861</v>
      </c>
      <c r="K23" s="10">
        <v>20628</v>
      </c>
      <c r="L23" s="10">
        <v>21301</v>
      </c>
      <c r="M23" s="10">
        <v>23506</v>
      </c>
      <c r="N23" s="10">
        <v>26771</v>
      </c>
      <c r="O23" s="10">
        <v>28509</v>
      </c>
      <c r="P23" s="2">
        <v>30834</v>
      </c>
      <c r="Q23" s="2">
        <v>33159</v>
      </c>
      <c r="R23" s="3">
        <v>30941</v>
      </c>
      <c r="S23" s="3">
        <v>27786</v>
      </c>
      <c r="T23" s="2">
        <v>21006</v>
      </c>
      <c r="U23" s="5">
        <v>23487</v>
      </c>
      <c r="V23" s="5">
        <v>22116</v>
      </c>
      <c r="W23" s="4">
        <v>19669</v>
      </c>
      <c r="X23" s="12">
        <v>19659</v>
      </c>
      <c r="Y23" s="12">
        <v>19649</v>
      </c>
      <c r="Z23" s="5">
        <v>20511</v>
      </c>
      <c r="AA23" s="5">
        <v>19591</v>
      </c>
      <c r="AB23" s="5">
        <v>19364</v>
      </c>
      <c r="AC23" s="13">
        <f t="shared" ca="1" si="0"/>
        <v>19364</v>
      </c>
      <c r="AD23" s="13">
        <v>18054</v>
      </c>
    </row>
    <row r="24" spans="1:30" x14ac:dyDescent="0.2">
      <c r="A24" s="1" t="s">
        <v>82</v>
      </c>
      <c r="B24" s="1" t="s">
        <v>16</v>
      </c>
      <c r="C24" s="1" t="s">
        <v>88</v>
      </c>
      <c r="D24" s="10">
        <v>138</v>
      </c>
      <c r="E24" s="10">
        <v>164</v>
      </c>
      <c r="F24" s="10">
        <v>195</v>
      </c>
      <c r="G24" s="10">
        <v>163</v>
      </c>
      <c r="H24" s="10">
        <v>137</v>
      </c>
      <c r="I24" s="10">
        <v>130</v>
      </c>
      <c r="J24" s="10">
        <v>134</v>
      </c>
      <c r="K24" s="10">
        <v>138</v>
      </c>
      <c r="L24" s="10">
        <v>141</v>
      </c>
      <c r="M24" s="10">
        <v>143</v>
      </c>
      <c r="N24" s="10">
        <v>144</v>
      </c>
      <c r="O24" s="10">
        <v>137</v>
      </c>
      <c r="P24" s="2">
        <v>134</v>
      </c>
      <c r="Q24" s="2">
        <v>131</v>
      </c>
      <c r="R24" s="3">
        <v>134</v>
      </c>
      <c r="S24" s="3">
        <v>136</v>
      </c>
      <c r="T24" s="2">
        <v>150</v>
      </c>
      <c r="U24" s="3">
        <v>171</v>
      </c>
      <c r="V24" s="3">
        <v>165</v>
      </c>
      <c r="W24" s="4">
        <v>171</v>
      </c>
      <c r="X24" s="12">
        <v>178</v>
      </c>
      <c r="Y24" s="12">
        <v>185</v>
      </c>
      <c r="Z24" s="3">
        <v>191</v>
      </c>
      <c r="AA24" s="3">
        <v>192</v>
      </c>
      <c r="AB24" s="3">
        <v>195</v>
      </c>
      <c r="AC24" s="13">
        <f t="shared" ca="1" si="0"/>
        <v>195</v>
      </c>
      <c r="AD24" s="13">
        <v>178</v>
      </c>
    </row>
    <row r="25" spans="1:30" x14ac:dyDescent="0.2">
      <c r="A25" s="1" t="s">
        <v>82</v>
      </c>
      <c r="B25" s="1" t="s">
        <v>16</v>
      </c>
      <c r="C25" s="1" t="s">
        <v>89</v>
      </c>
      <c r="D25" s="10">
        <v>2679</v>
      </c>
      <c r="E25" s="10">
        <v>3363</v>
      </c>
      <c r="F25" s="10">
        <v>4222</v>
      </c>
      <c r="G25" s="10">
        <v>4017</v>
      </c>
      <c r="H25" s="10">
        <v>4237</v>
      </c>
      <c r="I25" s="10">
        <v>4457</v>
      </c>
      <c r="J25" s="10">
        <v>4486</v>
      </c>
      <c r="K25" s="10">
        <v>4603</v>
      </c>
      <c r="L25" s="10">
        <v>4712</v>
      </c>
      <c r="M25" s="10">
        <v>4829</v>
      </c>
      <c r="N25" s="10">
        <v>4747</v>
      </c>
      <c r="O25" s="10">
        <v>4653</v>
      </c>
      <c r="P25" s="2">
        <v>4598</v>
      </c>
      <c r="Q25" s="2">
        <v>4543</v>
      </c>
      <c r="R25" s="3">
        <v>4637</v>
      </c>
      <c r="S25" s="3">
        <v>4731</v>
      </c>
      <c r="T25" s="2">
        <v>5158</v>
      </c>
      <c r="U25" s="5">
        <v>5386</v>
      </c>
      <c r="V25" s="5">
        <v>5258</v>
      </c>
      <c r="W25" s="4">
        <v>5453</v>
      </c>
      <c r="X25" s="12">
        <v>5391</v>
      </c>
      <c r="Y25" s="12">
        <v>5330</v>
      </c>
      <c r="Z25" s="5">
        <v>4948</v>
      </c>
      <c r="AA25" s="5">
        <v>5108</v>
      </c>
      <c r="AB25" s="5">
        <v>5086</v>
      </c>
      <c r="AC25" s="13">
        <f t="shared" ca="1" si="0"/>
        <v>5086</v>
      </c>
      <c r="AD25" s="13">
        <v>5104</v>
      </c>
    </row>
    <row r="26" spans="1:30" x14ac:dyDescent="0.2">
      <c r="A26" s="1" t="s">
        <v>82</v>
      </c>
      <c r="B26" s="1" t="s">
        <v>23</v>
      </c>
      <c r="C26" s="1" t="s">
        <v>90</v>
      </c>
      <c r="D26" s="10">
        <v>13941</v>
      </c>
      <c r="E26" s="10">
        <v>13971</v>
      </c>
      <c r="F26" s="10">
        <v>14001</v>
      </c>
      <c r="G26" s="10">
        <v>13558</v>
      </c>
      <c r="H26" s="10">
        <v>13365</v>
      </c>
      <c r="I26" s="10">
        <v>13602</v>
      </c>
      <c r="J26" s="10">
        <v>13684</v>
      </c>
      <c r="K26" s="10">
        <v>13821</v>
      </c>
      <c r="L26" s="10">
        <v>13907</v>
      </c>
      <c r="M26" s="10">
        <v>14042</v>
      </c>
      <c r="N26" s="10">
        <v>13352</v>
      </c>
      <c r="O26" s="10">
        <v>13096</v>
      </c>
      <c r="P26" s="2">
        <v>12760</v>
      </c>
      <c r="Q26" s="2">
        <v>12424</v>
      </c>
      <c r="R26" s="3">
        <v>12621</v>
      </c>
      <c r="S26" s="3">
        <v>12822</v>
      </c>
      <c r="T26" s="2">
        <v>14185</v>
      </c>
      <c r="U26" s="5">
        <v>14884</v>
      </c>
      <c r="V26" s="5">
        <v>14530</v>
      </c>
      <c r="W26" s="4">
        <v>15081</v>
      </c>
      <c r="X26" s="12">
        <v>15271</v>
      </c>
      <c r="Y26" s="12">
        <v>15462</v>
      </c>
      <c r="Z26" s="5">
        <v>15435</v>
      </c>
      <c r="AA26" s="5">
        <v>15612</v>
      </c>
      <c r="AB26" s="5">
        <v>15710</v>
      </c>
      <c r="AC26" s="13">
        <f t="shared" ca="1" si="0"/>
        <v>15710</v>
      </c>
      <c r="AD26" s="13">
        <v>15346</v>
      </c>
    </row>
    <row r="27" spans="1:30" x14ac:dyDescent="0.2">
      <c r="A27" s="1" t="s">
        <v>82</v>
      </c>
      <c r="B27" s="1" t="s">
        <v>23</v>
      </c>
      <c r="C27" s="1" t="s">
        <v>91</v>
      </c>
      <c r="D27" s="10">
        <v>59291</v>
      </c>
      <c r="E27" s="10">
        <v>55057</v>
      </c>
      <c r="F27" s="10">
        <v>51125</v>
      </c>
      <c r="G27" s="10">
        <v>57250</v>
      </c>
      <c r="H27" s="10">
        <v>58525</v>
      </c>
      <c r="I27" s="10">
        <v>60392</v>
      </c>
      <c r="J27" s="10">
        <v>60874</v>
      </c>
      <c r="K27" s="10">
        <v>62412</v>
      </c>
      <c r="L27" s="10">
        <v>64083</v>
      </c>
      <c r="M27" s="10">
        <v>65917</v>
      </c>
      <c r="N27" s="10">
        <v>57715</v>
      </c>
      <c r="O27" s="10">
        <v>59112</v>
      </c>
      <c r="P27" s="2">
        <v>57382</v>
      </c>
      <c r="Q27" s="2">
        <v>55652</v>
      </c>
      <c r="R27" s="3">
        <v>58952</v>
      </c>
      <c r="S27" s="3">
        <v>62294</v>
      </c>
      <c r="T27" s="2">
        <v>76957</v>
      </c>
      <c r="U27" s="5">
        <v>85406</v>
      </c>
      <c r="V27" s="5">
        <v>82691</v>
      </c>
      <c r="W27" s="4">
        <v>88622</v>
      </c>
      <c r="X27" s="12">
        <v>91624</v>
      </c>
      <c r="Y27" s="12">
        <v>94626</v>
      </c>
      <c r="Z27" s="5">
        <v>95855</v>
      </c>
      <c r="AA27" s="5">
        <v>97691</v>
      </c>
      <c r="AB27" s="5">
        <v>99168</v>
      </c>
      <c r="AC27" s="13">
        <f t="shared" ca="1" si="0"/>
        <v>99168</v>
      </c>
      <c r="AD27" s="13">
        <v>99365</v>
      </c>
    </row>
    <row r="28" spans="1:30" x14ac:dyDescent="0.2">
      <c r="A28" s="1" t="s">
        <v>82</v>
      </c>
      <c r="B28" s="1" t="s">
        <v>23</v>
      </c>
      <c r="C28" s="1" t="s">
        <v>92</v>
      </c>
      <c r="D28" s="10">
        <v>6994</v>
      </c>
      <c r="E28" s="10">
        <v>7529</v>
      </c>
      <c r="F28" s="10">
        <v>8105</v>
      </c>
      <c r="G28" s="10">
        <v>7252</v>
      </c>
      <c r="H28" s="10">
        <v>7021</v>
      </c>
      <c r="I28" s="10" t="s">
        <v>18</v>
      </c>
      <c r="J28" s="10">
        <v>6782</v>
      </c>
      <c r="K28" s="10">
        <v>6597</v>
      </c>
      <c r="L28" s="10">
        <v>6318</v>
      </c>
      <c r="M28" s="10">
        <v>6104</v>
      </c>
      <c r="N28" s="10">
        <v>5957</v>
      </c>
      <c r="O28" s="10">
        <v>5457</v>
      </c>
      <c r="P28" s="2">
        <v>5122</v>
      </c>
      <c r="Q28" s="2">
        <v>4787</v>
      </c>
      <c r="R28" s="3">
        <v>5120</v>
      </c>
      <c r="S28" s="3">
        <v>5460</v>
      </c>
      <c r="T28" s="2">
        <v>6994</v>
      </c>
      <c r="U28" s="5">
        <v>8644</v>
      </c>
      <c r="V28" s="5">
        <v>8255</v>
      </c>
      <c r="W28" s="4">
        <v>8878</v>
      </c>
      <c r="X28" s="12">
        <v>9076</v>
      </c>
      <c r="Y28" s="12">
        <v>9275</v>
      </c>
      <c r="Z28" s="5">
        <v>8614</v>
      </c>
      <c r="AA28" s="5">
        <v>9070</v>
      </c>
      <c r="AB28" s="5">
        <v>9151</v>
      </c>
      <c r="AC28" s="13">
        <f t="shared" ca="1" si="0"/>
        <v>9151</v>
      </c>
      <c r="AD28" s="13">
        <v>9174</v>
      </c>
    </row>
    <row r="29" spans="1:30" x14ac:dyDescent="0.2">
      <c r="A29" s="1" t="s">
        <v>82</v>
      </c>
      <c r="B29" s="1" t="s">
        <v>23</v>
      </c>
      <c r="C29" s="1" t="s">
        <v>93</v>
      </c>
      <c r="D29" s="10">
        <v>4071</v>
      </c>
      <c r="E29" s="10">
        <v>2521</v>
      </c>
      <c r="F29" s="10">
        <v>1561</v>
      </c>
      <c r="G29" s="10">
        <v>1664</v>
      </c>
      <c r="H29" s="10">
        <v>1328</v>
      </c>
      <c r="I29" s="10">
        <v>955</v>
      </c>
      <c r="J29" s="10">
        <v>912</v>
      </c>
      <c r="K29" s="10">
        <v>847</v>
      </c>
      <c r="L29" s="10">
        <v>803</v>
      </c>
      <c r="M29" s="10">
        <v>712</v>
      </c>
      <c r="N29" s="10">
        <v>558</v>
      </c>
      <c r="O29" s="10">
        <v>506</v>
      </c>
      <c r="P29" s="2">
        <v>414</v>
      </c>
      <c r="Q29" s="2">
        <v>322</v>
      </c>
      <c r="R29" s="3">
        <v>326</v>
      </c>
      <c r="S29" s="3">
        <v>334</v>
      </c>
      <c r="T29" s="2">
        <v>448</v>
      </c>
      <c r="U29" s="3">
        <v>417</v>
      </c>
      <c r="V29" s="3">
        <v>428</v>
      </c>
      <c r="W29" s="4">
        <v>455</v>
      </c>
      <c r="X29" s="12">
        <v>1477</v>
      </c>
      <c r="Y29" s="12">
        <v>2499</v>
      </c>
      <c r="Z29" s="5">
        <v>5560</v>
      </c>
      <c r="AA29" s="5">
        <v>1980</v>
      </c>
      <c r="AB29" s="5">
        <v>760</v>
      </c>
      <c r="AC29" s="13">
        <f t="shared" ca="1" si="0"/>
        <v>760</v>
      </c>
      <c r="AD29" s="13">
        <v>1253</v>
      </c>
    </row>
    <row r="30" spans="1:30" x14ac:dyDescent="0.2">
      <c r="A30" s="1" t="s">
        <v>82</v>
      </c>
      <c r="B30" s="1" t="s">
        <v>23</v>
      </c>
      <c r="C30" s="1" t="s">
        <v>94</v>
      </c>
      <c r="D30" s="10">
        <v>57899</v>
      </c>
      <c r="E30" s="10">
        <v>65594</v>
      </c>
      <c r="F30" s="10">
        <v>74312</v>
      </c>
      <c r="G30" s="10">
        <v>67826</v>
      </c>
      <c r="H30" s="10">
        <v>62048</v>
      </c>
      <c r="I30" s="10">
        <v>58469</v>
      </c>
      <c r="J30" s="10">
        <v>57182</v>
      </c>
      <c r="K30" s="10">
        <v>55394</v>
      </c>
      <c r="L30" s="10">
        <v>53276</v>
      </c>
      <c r="M30" s="10">
        <v>51987</v>
      </c>
      <c r="N30" s="10">
        <v>51978</v>
      </c>
      <c r="O30" s="10">
        <v>50663</v>
      </c>
      <c r="P30" s="2">
        <v>49788</v>
      </c>
      <c r="Q30" s="2">
        <v>48913</v>
      </c>
      <c r="R30" s="3">
        <v>50486</v>
      </c>
      <c r="S30" s="3">
        <v>52062</v>
      </c>
      <c r="T30" s="2">
        <v>58170</v>
      </c>
      <c r="U30" s="5">
        <v>59824</v>
      </c>
      <c r="V30" s="5">
        <v>58797</v>
      </c>
      <c r="W30" s="4">
        <v>61410</v>
      </c>
      <c r="X30" s="12">
        <v>61591</v>
      </c>
      <c r="Y30" s="12">
        <v>61772</v>
      </c>
      <c r="Z30" s="5">
        <v>60156</v>
      </c>
      <c r="AA30" s="5">
        <v>61343</v>
      </c>
      <c r="AB30" s="5">
        <v>61537</v>
      </c>
      <c r="AC30" s="13">
        <f t="shared" ca="1" si="0"/>
        <v>61537</v>
      </c>
      <c r="AD30" s="13">
        <v>66523</v>
      </c>
    </row>
    <row r="31" spans="1:30" x14ac:dyDescent="0.2">
      <c r="A31" s="1" t="s">
        <v>82</v>
      </c>
      <c r="B31" s="1" t="s">
        <v>49</v>
      </c>
      <c r="C31" s="1" t="s">
        <v>95</v>
      </c>
      <c r="D31" s="10">
        <v>232065</v>
      </c>
      <c r="E31" s="10" t="s">
        <v>96</v>
      </c>
      <c r="F31" s="10">
        <v>229222</v>
      </c>
      <c r="G31" s="10">
        <v>214551</v>
      </c>
      <c r="H31" s="10">
        <v>220488</v>
      </c>
      <c r="I31" s="10" t="s">
        <v>97</v>
      </c>
      <c r="J31" s="10" t="s">
        <v>98</v>
      </c>
      <c r="K31" s="10" t="s">
        <v>99</v>
      </c>
      <c r="L31" s="10" t="s">
        <v>100</v>
      </c>
      <c r="M31" s="10" t="s">
        <v>101</v>
      </c>
      <c r="N31" s="10" t="s">
        <v>102</v>
      </c>
      <c r="O31" s="10" t="s">
        <v>103</v>
      </c>
      <c r="P31" s="2">
        <v>205647</v>
      </c>
      <c r="Q31" s="2">
        <v>196280</v>
      </c>
      <c r="R31" s="3">
        <v>197409</v>
      </c>
      <c r="S31" s="3">
        <v>198784</v>
      </c>
      <c r="T31" s="2" t="s">
        <v>136</v>
      </c>
      <c r="U31" s="3" t="s">
        <v>158</v>
      </c>
      <c r="V31" s="3" t="s">
        <v>148</v>
      </c>
      <c r="W31" s="4">
        <v>233433</v>
      </c>
      <c r="X31" s="12">
        <v>236635</v>
      </c>
      <c r="Y31" s="12">
        <v>239838</v>
      </c>
      <c r="Z31" s="3" t="s">
        <v>173</v>
      </c>
      <c r="AA31" s="3">
        <v>241915</v>
      </c>
      <c r="AB31" s="3">
        <v>242484</v>
      </c>
      <c r="AC31" s="13">
        <f t="shared" ca="1" si="0"/>
        <v>242484</v>
      </c>
      <c r="AD31" s="13">
        <v>245897</v>
      </c>
    </row>
    <row r="32" spans="1:30" x14ac:dyDescent="0.2">
      <c r="A32" s="1" t="s">
        <v>82</v>
      </c>
      <c r="B32" s="1" t="s">
        <v>49</v>
      </c>
      <c r="C32" s="1" t="s">
        <v>104</v>
      </c>
      <c r="D32" s="10">
        <v>43955</v>
      </c>
      <c r="E32" s="10">
        <v>43218</v>
      </c>
      <c r="F32" s="10">
        <v>42493</v>
      </c>
      <c r="G32" s="10">
        <v>36165</v>
      </c>
      <c r="H32" s="10">
        <v>37051</v>
      </c>
      <c r="I32" s="10">
        <v>37453</v>
      </c>
      <c r="J32" s="10">
        <v>37842</v>
      </c>
      <c r="K32" s="10">
        <v>38917</v>
      </c>
      <c r="L32" s="10">
        <v>39884</v>
      </c>
      <c r="M32" s="10">
        <v>41062</v>
      </c>
      <c r="N32" s="10">
        <v>37304</v>
      </c>
      <c r="O32" s="10">
        <v>36486</v>
      </c>
      <c r="P32" s="2">
        <v>35021</v>
      </c>
      <c r="Q32" s="2">
        <v>33556</v>
      </c>
      <c r="R32" s="3">
        <v>33371</v>
      </c>
      <c r="S32" s="3">
        <v>33222</v>
      </c>
      <c r="T32" s="2">
        <v>36068</v>
      </c>
      <c r="U32" s="5">
        <v>38102</v>
      </c>
      <c r="V32" s="5">
        <v>37420</v>
      </c>
      <c r="W32" s="4">
        <v>38234</v>
      </c>
      <c r="X32" s="12">
        <v>38596</v>
      </c>
      <c r="Y32" s="12">
        <v>38958</v>
      </c>
      <c r="Z32" s="5">
        <v>38599</v>
      </c>
      <c r="AA32" s="5">
        <v>38730</v>
      </c>
      <c r="AB32" s="5">
        <v>38775</v>
      </c>
      <c r="AC32" s="13">
        <f t="shared" ca="1" si="0"/>
        <v>38775</v>
      </c>
      <c r="AD32" s="13">
        <v>39782</v>
      </c>
    </row>
    <row r="33" spans="1:30" x14ac:dyDescent="0.2">
      <c r="A33" s="1" t="s">
        <v>82</v>
      </c>
      <c r="B33" s="1" t="s">
        <v>49</v>
      </c>
      <c r="C33" s="1" t="s">
        <v>105</v>
      </c>
      <c r="D33" s="10">
        <v>1946</v>
      </c>
      <c r="E33" s="10">
        <v>2220</v>
      </c>
      <c r="F33" s="10">
        <v>2533</v>
      </c>
      <c r="G33" s="10">
        <v>2235</v>
      </c>
      <c r="H33" s="10">
        <v>2180</v>
      </c>
      <c r="I33" s="10">
        <v>2057</v>
      </c>
      <c r="J33" s="10">
        <v>2053</v>
      </c>
      <c r="K33" s="10">
        <v>2041</v>
      </c>
      <c r="L33" s="10">
        <v>2029</v>
      </c>
      <c r="M33" s="10">
        <v>2018</v>
      </c>
      <c r="N33" s="10">
        <v>2261</v>
      </c>
      <c r="O33" s="10">
        <v>2276</v>
      </c>
      <c r="P33" s="2">
        <v>2363</v>
      </c>
      <c r="Q33" s="2">
        <v>2450</v>
      </c>
      <c r="R33" s="3">
        <v>2437</v>
      </c>
      <c r="S33" s="3">
        <v>2427</v>
      </c>
      <c r="T33" s="2">
        <v>2116</v>
      </c>
      <c r="U33" s="5">
        <v>1947</v>
      </c>
      <c r="V33" s="5">
        <v>2003</v>
      </c>
      <c r="W33" s="4">
        <v>1906</v>
      </c>
      <c r="X33" s="12">
        <v>1936</v>
      </c>
      <c r="Y33" s="12">
        <v>1966</v>
      </c>
      <c r="Z33" s="5">
        <v>2196</v>
      </c>
      <c r="AA33" s="5">
        <v>2098</v>
      </c>
      <c r="AB33" s="5">
        <v>2110</v>
      </c>
      <c r="AC33" s="13">
        <f t="shared" ca="1" si="0"/>
        <v>2110</v>
      </c>
      <c r="AD33" s="13">
        <v>2129</v>
      </c>
    </row>
    <row r="34" spans="1:30" x14ac:dyDescent="0.2">
      <c r="A34" s="1" t="s">
        <v>82</v>
      </c>
      <c r="B34" s="1" t="s">
        <v>49</v>
      </c>
      <c r="C34" s="1" t="s">
        <v>106</v>
      </c>
      <c r="D34" s="10">
        <v>128227</v>
      </c>
      <c r="E34" s="10" t="s">
        <v>107</v>
      </c>
      <c r="F34" s="10">
        <v>139951</v>
      </c>
      <c r="G34" s="10">
        <v>126867</v>
      </c>
      <c r="H34" s="10">
        <v>126785</v>
      </c>
      <c r="I34" s="10" t="s">
        <v>108</v>
      </c>
      <c r="J34" s="10" t="s">
        <v>109</v>
      </c>
      <c r="K34" s="10" t="s">
        <v>110</v>
      </c>
      <c r="L34" s="10" t="s">
        <v>111</v>
      </c>
      <c r="M34" s="10" t="s">
        <v>112</v>
      </c>
      <c r="N34" s="10" t="s">
        <v>113</v>
      </c>
      <c r="O34" s="10" t="s">
        <v>114</v>
      </c>
      <c r="P34" s="2">
        <v>117790</v>
      </c>
      <c r="Q34" s="2">
        <v>114206</v>
      </c>
      <c r="R34" s="3">
        <v>113754</v>
      </c>
      <c r="S34" s="3">
        <v>113366</v>
      </c>
      <c r="T34" s="2" t="s">
        <v>137</v>
      </c>
      <c r="U34" s="3" t="s">
        <v>159</v>
      </c>
      <c r="V34" s="3" t="s">
        <v>149</v>
      </c>
      <c r="W34" s="4">
        <v>122810</v>
      </c>
      <c r="X34" s="12">
        <v>125964</v>
      </c>
      <c r="Y34" s="12">
        <v>129119</v>
      </c>
      <c r="Z34" s="3" t="s">
        <v>174</v>
      </c>
      <c r="AA34" s="3">
        <v>135429</v>
      </c>
      <c r="AB34" s="3">
        <v>136909</v>
      </c>
      <c r="AC34" s="13">
        <f t="shared" ca="1" si="0"/>
        <v>136909</v>
      </c>
      <c r="AD34" s="13">
        <v>132948</v>
      </c>
    </row>
    <row r="35" spans="1:30" x14ac:dyDescent="0.2">
      <c r="A35" s="1" t="s">
        <v>82</v>
      </c>
      <c r="B35" s="1" t="s">
        <v>49</v>
      </c>
      <c r="C35" s="1" t="s">
        <v>115</v>
      </c>
      <c r="D35" s="10">
        <v>1226</v>
      </c>
      <c r="E35" s="10">
        <v>1220</v>
      </c>
      <c r="F35" s="10">
        <v>1214</v>
      </c>
      <c r="G35" s="10">
        <v>1038</v>
      </c>
      <c r="H35" s="10">
        <v>1004</v>
      </c>
      <c r="I35" s="10">
        <v>1028</v>
      </c>
      <c r="J35" s="10">
        <v>1032</v>
      </c>
      <c r="K35" s="10">
        <v>1018</v>
      </c>
      <c r="L35" s="10">
        <v>1009</v>
      </c>
      <c r="M35" s="10">
        <v>998</v>
      </c>
      <c r="N35" s="10">
        <v>1075</v>
      </c>
      <c r="O35" s="10">
        <v>1068</v>
      </c>
      <c r="P35" s="2">
        <v>1088</v>
      </c>
      <c r="Q35" s="2">
        <v>1108</v>
      </c>
      <c r="R35" s="3">
        <v>1107</v>
      </c>
      <c r="S35" s="3">
        <v>1106</v>
      </c>
      <c r="T35" s="2">
        <v>1035</v>
      </c>
      <c r="U35" s="5">
        <v>1074</v>
      </c>
      <c r="V35" s="5">
        <v>1058</v>
      </c>
      <c r="W35" s="4">
        <v>1046</v>
      </c>
      <c r="X35" s="12">
        <v>1061</v>
      </c>
      <c r="Y35" s="12">
        <v>1076</v>
      </c>
      <c r="Z35" s="5">
        <v>1114</v>
      </c>
      <c r="AA35" s="5">
        <v>1097</v>
      </c>
      <c r="AB35" s="5">
        <v>1098</v>
      </c>
      <c r="AC35" s="13">
        <f t="shared" ca="1" si="0"/>
        <v>1098</v>
      </c>
      <c r="AD35" s="13">
        <v>1110</v>
      </c>
    </row>
    <row r="36" spans="1:30" x14ac:dyDescent="0.2">
      <c r="A36" s="1" t="s">
        <v>82</v>
      </c>
      <c r="B36" s="1" t="s">
        <v>49</v>
      </c>
      <c r="C36" s="1" t="s">
        <v>116</v>
      </c>
      <c r="D36" s="10">
        <v>205501</v>
      </c>
      <c r="E36" s="10" t="s">
        <v>117</v>
      </c>
      <c r="F36" s="10">
        <v>184544</v>
      </c>
      <c r="G36" s="10">
        <v>173828</v>
      </c>
      <c r="H36" s="10">
        <v>188628</v>
      </c>
      <c r="I36" s="10" t="s">
        <v>118</v>
      </c>
      <c r="J36" s="10" t="s">
        <v>119</v>
      </c>
      <c r="K36" s="10" t="s">
        <v>120</v>
      </c>
      <c r="L36" s="10" t="s">
        <v>121</v>
      </c>
      <c r="M36" s="10" t="s">
        <v>122</v>
      </c>
      <c r="N36" s="10" t="s">
        <v>123</v>
      </c>
      <c r="O36" s="10" t="s">
        <v>124</v>
      </c>
      <c r="P36" s="2">
        <v>177176</v>
      </c>
      <c r="Q36" s="2">
        <v>171423</v>
      </c>
      <c r="R36" s="3">
        <v>172527</v>
      </c>
      <c r="S36" s="3">
        <v>173740</v>
      </c>
      <c r="T36" s="2" t="s">
        <v>138</v>
      </c>
      <c r="U36" s="3" t="s">
        <v>160</v>
      </c>
      <c r="V36" s="3" t="s">
        <v>150</v>
      </c>
      <c r="W36" s="4">
        <v>207739</v>
      </c>
      <c r="X36" s="12">
        <v>213357</v>
      </c>
      <c r="Y36" s="12">
        <v>218976</v>
      </c>
      <c r="Z36" s="3" t="s">
        <v>175</v>
      </c>
      <c r="AA36" s="3">
        <v>225458</v>
      </c>
      <c r="AB36" s="3">
        <v>227879</v>
      </c>
      <c r="AC36" s="13">
        <f t="shared" ca="1" si="0"/>
        <v>227879</v>
      </c>
      <c r="AD36" s="13">
        <v>242948</v>
      </c>
    </row>
    <row r="40" spans="1:30" x14ac:dyDescent="0.2">
      <c r="U40" s="8"/>
      <c r="V40" s="8"/>
      <c r="W40" s="8"/>
      <c r="X40" s="8"/>
    </row>
    <row r="42" spans="1:30" x14ac:dyDescent="0.2">
      <c r="X42" s="6"/>
    </row>
    <row r="46" spans="1:30" x14ac:dyDescent="0.2">
      <c r="X46" s="6"/>
    </row>
    <row r="47" spans="1:30" x14ac:dyDescent="0.2">
      <c r="X47" s="6"/>
    </row>
    <row r="48" spans="1:30" x14ac:dyDescent="0.2">
      <c r="X48" s="6"/>
    </row>
    <row r="49" spans="24:24" x14ac:dyDescent="0.2">
      <c r="X49" s="6"/>
    </row>
    <row r="53" spans="24:24" x14ac:dyDescent="0.2">
      <c r="X53" s="6"/>
    </row>
    <row r="58" spans="24:24" x14ac:dyDescent="0.2">
      <c r="X58" s="6"/>
    </row>
    <row r="59" spans="24:24" x14ac:dyDescent="0.2">
      <c r="X59" s="6"/>
    </row>
    <row r="60" spans="24:24" x14ac:dyDescent="0.2">
      <c r="X60" s="6"/>
    </row>
    <row r="62" spans="24:24" x14ac:dyDescent="0.2">
      <c r="X62" s="6"/>
    </row>
    <row r="64" spans="24:24" x14ac:dyDescent="0.2">
      <c r="X64" s="6"/>
    </row>
    <row r="65" spans="24:24" x14ac:dyDescent="0.2">
      <c r="X65" s="6"/>
    </row>
    <row r="66" spans="24:24" x14ac:dyDescent="0.2">
      <c r="X66" s="6"/>
    </row>
    <row r="67" spans="24:24" x14ac:dyDescent="0.2">
      <c r="X67" s="6"/>
    </row>
    <row r="68" spans="24:24" x14ac:dyDescent="0.2">
      <c r="X68" s="6"/>
    </row>
    <row r="69" spans="24:24" x14ac:dyDescent="0.2">
      <c r="X69" s="6"/>
    </row>
    <row r="71" spans="24:24" x14ac:dyDescent="0.2">
      <c r="X71" s="6"/>
    </row>
    <row r="72" spans="24:24" x14ac:dyDescent="0.2">
      <c r="X72" s="6"/>
    </row>
    <row r="74" spans="24:24" x14ac:dyDescent="0.2">
      <c r="X74" s="6"/>
    </row>
  </sheetData>
  <autoFilter ref="A1:O36" xr:uid="{5C3387D6-5B82-9F44-A171-AF60F746D3C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Advik Holalu</dc:creator>
  <cp:lastModifiedBy>Advik Holalu</cp:lastModifiedBy>
  <dcterms:created xsi:type="dcterms:W3CDTF">2026-03-25T06:47:22Z</dcterms:created>
  <dcterms:modified xsi:type="dcterms:W3CDTF">2026-07-16T10:32:57Z</dcterms:modified>
</cp:coreProperties>
</file>